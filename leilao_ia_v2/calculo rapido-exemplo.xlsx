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EJ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<sst xmlns="http://schemas.openxmlformats.org/spreadsheetml/2006/main" count="61" uniqueCount="32">
  <si>
    <t xml:space="preserve">A VISTA</t>
  </si>
  <si>
    <t xml:space="preserve">FINANCIADO</t>
  </si>
  <si>
    <t xml:space="preserve">PARCELADO</t>
  </si>
  <si>
    <t xml:space="preserve">MIN</t>
  </si>
  <si>
    <t xml:space="preserve">MAX</t>
  </si>
  <si>
    <t xml:space="preserve">Lance</t>
  </si>
  <si>
    <t xml:space="preserve">ENTRADA</t>
  </si>
  <si>
    <t xml:space="preserve">Leiloeiro</t>
  </si>
  <si>
    <t xml:space="preserve">VALOR A FINAC</t>
  </si>
  <si>
    <t xml:space="preserve">VALOR A PARCELAR</t>
  </si>
  <si>
    <t xml:space="preserve">Documentação</t>
  </si>
  <si>
    <t xml:space="preserve">Prestação</t>
  </si>
  <si>
    <t xml:space="preserve">Quant Parcelas</t>
  </si>
  <si>
    <t xml:space="preserve">Reforma</t>
  </si>
  <si>
    <t xml:space="preserve">Condominio</t>
  </si>
  <si>
    <t xml:space="preserve">IPTU</t>
  </si>
  <si>
    <t xml:space="preserve">GASTOS</t>
  </si>
  <si>
    <t xml:space="preserve">Outros</t>
  </si>
  <si>
    <t xml:space="preserve">TEMPO (MESES)</t>
  </si>
  <si>
    <t xml:space="preserve">Parcelas Pagas</t>
  </si>
  <si>
    <t xml:space="preserve">Subtotal</t>
  </si>
  <si>
    <t xml:space="preserve">226058</t>
  </si>
  <si>
    <t xml:space="preserve">Venda</t>
  </si>
  <si>
    <t xml:space="preserve">Corretagem</t>
  </si>
  <si>
    <t xml:space="preserve">Lucro Bruto</t>
  </si>
  <si>
    <t xml:space="preserve">IR</t>
  </si>
  <si>
    <t xml:space="preserve">Lucro Liquido</t>
  </si>
  <si>
    <t xml:space="preserve">ROI</t>
  </si>
  <si>
    <t xml:space="preserve">No DE COTAS</t>
  </si>
  <si>
    <t xml:space="preserve">COTAS/PARCELA</t>
  </si>
  <si>
    <t xml:space="preserve">INVESTIMENTO</t>
  </si>
  <si>
    <t xml:space="preserve">LUCRO LIQUIDO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</si>
</sst>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6.4"/>
      <color rgb="FF2E3436"/>
      <name val="Adwaita San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81D41A"/>
        <bgColor rgb="FFB2B2B2"/>
      </patternFill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R39"/>
  <sheetViews>
    <sheetView showFormulas="false" showGridLines="true" showRowColHeaders="true" showZeros="true" rightToLeft="false" tabSelected="true" showOutlineSymbols="true" defaultGridColor="true" view="normal" topLeftCell="A4" colorId="64" zoomScale="110" zoomScaleNormal="110" zoomScalePageLayoutView="100" workbookViewId="0">
      <selection pane="topLeft" activeCell="D38" activeCellId="0" sqref="D38"/>
    </sheetView>
  </sheetViews>
  <sheetFormatPr defaultColWidth="11.53515625" defaultRowHeight="12.8" customHeight="true" zeroHeight="false" outlineLevelRow="0" outlineLevelCol="1"/>
  <cols>
    <col collapsed="false" customWidth="true" hidden="false" outlineLevel="0" max="1" min="1" style="1" width="7.27"/>
    <col collapsed="false" customWidth="true" hidden="false" outlineLevel="0" max="2" min="2" style="1" width="18.6"/>
    <col collapsed="false" customWidth="true" hidden="false" outlineLevel="0" max="5" min="5" style="1" width="14.13"/>
    <col collapsed="false" customWidth="true" hidden="false" outlineLevel="1" max="6" min="6" style="1" width="4.8"/>
    <col collapsed="false" customWidth="true" hidden="false" outlineLevel="1" max="7" min="7" style="1" width="18.6"/>
    <col collapsed="false" customWidth="false" hidden="false" outlineLevel="1" max="10" min="8" style="1" width="11.53"/>
    <col collapsed="false" customWidth="true" hidden="false" outlineLevel="0" max="11" min="11" style="1" width="3.92"/>
    <col collapsed="false" customWidth="true" hidden="false" outlineLevel="0" max="12" min="12" style="1" width="20.7"/>
  </cols>
  <sheetData>
    <row r="3" customFormat="false" ht="12.8" hidden="false" customHeight="true" outlineLevel="0" collapsed="false">
      <c r="D3" s="1"/>
    </row>
    <row r="4" customFormat="false" ht="12.8" hidden="false" customHeight="true" outlineLevel="0" collapsed="false">
      <c r="D4" s="1"/>
      <c r="F4" s="2"/>
      <c r="M4" s="3"/>
    </row>
    <row r="5" customFormat="false" ht="12.8" hidden="false" customHeight="false" outlineLevel="0" collapsed="false">
      <c r="D5" s="4"/>
      <c r="E5" s="4"/>
      <c r="F5" s="4"/>
      <c r="G5" s="4"/>
      <c r="H5" s="4"/>
      <c r="I5" s="4"/>
      <c r="J5" s="5"/>
      <c r="K5" s="5"/>
      <c r="L5" s="5"/>
      <c r="P5" s="1"/>
    </row>
    <row r="6" customFormat="false" ht="12.8" hidden="false" customHeight="false" outlineLevel="0" collapsed="false">
      <c r="D6" s="6"/>
      <c r="E6" s="6"/>
      <c r="F6" s="6"/>
      <c r="G6" s="6"/>
      <c r="H6" s="6"/>
      <c r="I6" s="6"/>
      <c r="L6" s="5"/>
    </row>
    <row r="8" customFormat="false" ht="12.8" hidden="false" customHeight="false" outlineLevel="0" collapsed="false">
      <c r="B8" s="7" t="s">
        <v>0</v>
      </c>
      <c r="C8" s="7"/>
      <c r="D8" s="7"/>
      <c r="E8" s="7"/>
      <c r="F8" s="2"/>
      <c r="G8" s="7" t="s">
        <v>1</v>
      </c>
      <c r="H8" s="7"/>
      <c r="I8" s="7"/>
      <c r="J8" s="7"/>
      <c r="L8" s="7" t="s">
        <v>2</v>
      </c>
      <c r="M8" s="7"/>
      <c r="N8" s="7"/>
      <c r="O8" s="7"/>
    </row>
    <row r="9" customFormat="false" ht="12.8" hidden="false" customHeight="false" outlineLevel="0" collapsed="false">
      <c r="B9" s="7"/>
      <c r="C9" s="7"/>
      <c r="D9" s="7"/>
      <c r="E9" s="7"/>
      <c r="F9" s="3"/>
      <c r="G9" s="7"/>
      <c r="H9" s="7"/>
      <c r="I9" s="7"/>
      <c r="J9" s="7"/>
      <c r="L9" s="7"/>
      <c r="M9" s="7"/>
      <c r="N9" s="7"/>
      <c r="O9" s="7"/>
    </row>
    <row r="10" customFormat="false" ht="22.95" hidden="false" customHeight="true" outlineLevel="0" collapsed="false">
      <c r="B10" s="8"/>
      <c r="C10" s="8"/>
      <c r="D10" s="8"/>
      <c r="E10" s="8"/>
      <c r="G10" s="8"/>
      <c r="H10" s="8"/>
      <c r="I10" s="8"/>
      <c r="J10" s="8"/>
      <c r="L10" s="8"/>
      <c r="M10" s="8"/>
      <c r="N10" s="8"/>
      <c r="O10" s="8"/>
      <c r="P10" s="5"/>
    </row>
    <row r="11" customFormat="false" ht="12.8" hidden="false" customHeight="false" outlineLevel="0" collapsed="false">
      <c r="B11" s="9"/>
      <c r="C11" s="9"/>
      <c r="D11" s="10" t="s">
        <v>3</v>
      </c>
      <c r="E11" s="10" t="s">
        <v>4</v>
      </c>
      <c r="F11" s="2"/>
      <c r="G11" s="9"/>
      <c r="H11" s="9"/>
      <c r="I11" s="10" t="s">
        <v>3</v>
      </c>
      <c r="J11" s="10" t="s">
        <v>4</v>
      </c>
      <c r="L11" s="9"/>
      <c r="M11" s="9"/>
      <c r="N11" s="10" t="s">
        <v>3</v>
      </c>
      <c r="O11" s="10" t="s">
        <v>4</v>
      </c>
    </row>
    <row r="12" customFormat="false" ht="12.8" hidden="false" customHeight="false" outlineLevel="0" collapsed="false">
      <c r="B12" s="11" t="s">
        <v>5</v>
      </c>
      <c r="C12" s="12"/>
      <c r="D12" s="13" t="n">
        <v>157000</v>
      </c>
      <c r="E12" s="13" t="n">
        <v>880000</v>
      </c>
      <c r="F12" s="2"/>
      <c r="G12" s="11" t="s">
        <v>6</v>
      </c>
      <c r="H12" s="14" t="n">
        <v>0.2</v>
      </c>
      <c r="I12" s="15" t="n">
        <f aca="false">D12*H12</f>
        <v>31400</v>
      </c>
      <c r="J12" s="16" t="n">
        <f aca="false">E12*H12</f>
        <v>176000</v>
      </c>
      <c r="K12" s="5"/>
      <c r="L12" s="11" t="s">
        <v>6</v>
      </c>
      <c r="M12" s="14" t="n">
        <v>0.3</v>
      </c>
      <c r="N12" s="16" t="n">
        <f aca="false">D12*M12</f>
        <v>47100</v>
      </c>
      <c r="O12" s="16" t="n">
        <f aca="false">E12*M12</f>
        <v>264000</v>
      </c>
      <c r="P12" s="1"/>
      <c r="Q12" s="1"/>
      <c r="R12" s="1"/>
    </row>
    <row r="13" customFormat="false" ht="12.8" hidden="false" customHeight="false" outlineLevel="0" collapsed="false">
      <c r="B13" s="12" t="s">
        <v>7</v>
      </c>
      <c r="C13" s="14" t="n">
        <v>0.05</v>
      </c>
      <c r="D13" s="17" t="n">
        <f aca="false">D12*C13</f>
        <v>7850</v>
      </c>
      <c r="E13" s="17" t="n">
        <f aca="false">E12*C13</f>
        <v>44000</v>
      </c>
      <c r="G13" s="18" t="s">
        <v>8</v>
      </c>
      <c r="H13" s="19"/>
      <c r="I13" s="20" t="n">
        <f aca="false">D12-I12</f>
        <v>125600</v>
      </c>
      <c r="J13" s="17" t="n">
        <f aca="false">E12-J12</f>
        <v>704000</v>
      </c>
      <c r="L13" s="18" t="s">
        <v>9</v>
      </c>
      <c r="M13" s="19"/>
      <c r="N13" s="17" t="n">
        <f aca="false">D12-N12</f>
        <v>109900</v>
      </c>
      <c r="O13" s="17" t="n">
        <f aca="false">E12-O12</f>
        <v>616000</v>
      </c>
      <c r="P13" s="2"/>
      <c r="Q13" s="5"/>
    </row>
    <row r="14" customFormat="false" ht="12.8" hidden="false" customHeight="false" outlineLevel="0" collapsed="false">
      <c r="B14" s="12" t="s">
        <v>10</v>
      </c>
      <c r="C14" s="14" t="n">
        <v>0.04</v>
      </c>
      <c r="D14" s="17" t="n">
        <f aca="false">D12*C14</f>
        <v>6280</v>
      </c>
      <c r="E14" s="17" t="n">
        <f aca="false">E12*C14</f>
        <v>35200</v>
      </c>
      <c r="G14" s="12" t="s">
        <v>11</v>
      </c>
      <c r="H14" s="14" t="n">
        <v>0.012</v>
      </c>
      <c r="I14" s="20" t="n">
        <f aca="false">I13*H14</f>
        <v>1507.2</v>
      </c>
      <c r="J14" s="17" t="n">
        <f aca="false">J13*H14</f>
        <v>8448</v>
      </c>
      <c r="L14" s="12" t="s">
        <v>12</v>
      </c>
      <c r="M14" s="12" t="n">
        <v>78</v>
      </c>
      <c r="N14" s="20" t="n">
        <f aca="false">(N13/M14)+(N13/M14*$H$14)</f>
        <v>1425.88205128205</v>
      </c>
      <c r="O14" s="20" t="n">
        <f aca="false">(O13/M14)+(O13/M14*$H$14)</f>
        <v>7992.20512820513</v>
      </c>
      <c r="P14" s="5"/>
      <c r="Q14" s="5"/>
    </row>
    <row r="15" customFormat="false" ht="12.8" hidden="false" customHeight="false" outlineLevel="0" collapsed="false">
      <c r="B15" s="12" t="s">
        <v>13</v>
      </c>
      <c r="C15" s="19" t="n">
        <f aca="false">D15/D12</f>
        <v>0.0955414012738854</v>
      </c>
      <c r="D15" s="21" t="n">
        <v>15000</v>
      </c>
      <c r="E15" s="17" t="n">
        <f aca="false">D15</f>
        <v>15000</v>
      </c>
      <c r="G15" s="18" t="s">
        <v>7</v>
      </c>
      <c r="H15" s="19"/>
      <c r="I15" s="17" t="n">
        <f aca="false">D13</f>
        <v>7850</v>
      </c>
      <c r="J15" s="17" t="n">
        <f aca="false">E13</f>
        <v>44000</v>
      </c>
      <c r="L15" s="18" t="s">
        <v>7</v>
      </c>
      <c r="M15" s="19"/>
      <c r="N15" s="17" t="n">
        <f aca="false">D13</f>
        <v>7850</v>
      </c>
      <c r="O15" s="17" t="n">
        <f aca="false">E13</f>
        <v>44000</v>
      </c>
      <c r="P15" s="5"/>
      <c r="Q15" s="5"/>
    </row>
    <row r="16" customFormat="false" ht="12.8" hidden="false" customHeight="false" outlineLevel="0" collapsed="false">
      <c r="B16" s="12" t="s">
        <v>14</v>
      </c>
      <c r="C16" s="19" t="n">
        <f aca="false">D16/D12</f>
        <v>0</v>
      </c>
      <c r="D16" s="21" t="n">
        <v>0</v>
      </c>
      <c r="E16" s="17" t="n">
        <f aca="false">D16</f>
        <v>0</v>
      </c>
      <c r="G16" s="18" t="s">
        <v>10</v>
      </c>
      <c r="H16" s="19"/>
      <c r="I16" s="17" t="n">
        <f aca="false">D14</f>
        <v>6280</v>
      </c>
      <c r="J16" s="17" t="n">
        <f aca="false">E14</f>
        <v>35200</v>
      </c>
      <c r="K16" s="3"/>
      <c r="L16" s="18" t="s">
        <v>10</v>
      </c>
      <c r="M16" s="19"/>
      <c r="N16" s="17" t="n">
        <f aca="false">D14</f>
        <v>6280</v>
      </c>
      <c r="O16" s="17" t="n">
        <f aca="false">E14</f>
        <v>35200</v>
      </c>
      <c r="P16" s="5"/>
      <c r="Q16" s="5"/>
    </row>
    <row r="17" customFormat="false" ht="12.8" hidden="false" customHeight="false" outlineLevel="0" collapsed="false">
      <c r="B17" s="12" t="s">
        <v>15</v>
      </c>
      <c r="C17" s="19" t="n">
        <f aca="false">D17/D12</f>
        <v>0</v>
      </c>
      <c r="D17" s="21" t="n">
        <v>0</v>
      </c>
      <c r="E17" s="17" t="n">
        <f aca="false">D17</f>
        <v>0</v>
      </c>
      <c r="G17" s="18" t="s">
        <v>16</v>
      </c>
      <c r="H17" s="19"/>
      <c r="I17" s="17" t="n">
        <f aca="false">SUM(D15:D18)</f>
        <v>20000</v>
      </c>
      <c r="J17" s="17" t="n">
        <f aca="false">SUM(E15:E18)</f>
        <v>20000</v>
      </c>
      <c r="L17" s="18" t="s">
        <v>16</v>
      </c>
      <c r="M17" s="19"/>
      <c r="N17" s="17" t="n">
        <f aca="false">SUM(D15:D18)</f>
        <v>20000</v>
      </c>
      <c r="O17" s="17" t="n">
        <f aca="false">SUM(E15:E18)</f>
        <v>20000</v>
      </c>
      <c r="P17" s="5"/>
      <c r="Q17" s="5"/>
    </row>
    <row r="18" customFormat="false" ht="12.8" hidden="false" customHeight="false" outlineLevel="0" collapsed="false">
      <c r="B18" s="12" t="s">
        <v>17</v>
      </c>
      <c r="C18" s="19" t="n">
        <f aca="false">D18/D12</f>
        <v>0.0318471337579618</v>
      </c>
      <c r="D18" s="21" t="n">
        <v>5000</v>
      </c>
      <c r="E18" s="17" t="n">
        <f aca="false">D18</f>
        <v>5000</v>
      </c>
      <c r="G18" s="12" t="s">
        <v>18</v>
      </c>
      <c r="H18" s="12" t="n">
        <v>18</v>
      </c>
      <c r="I18" s="17" t="n">
        <f aca="false">I14*H18</f>
        <v>27129.6</v>
      </c>
      <c r="J18" s="17" t="n">
        <f aca="false">J14*H18</f>
        <v>152064</v>
      </c>
      <c r="L18" s="12" t="s">
        <v>19</v>
      </c>
      <c r="M18" s="12" t="n">
        <v>12</v>
      </c>
      <c r="N18" s="17" t="n">
        <f aca="false">N14*M18</f>
        <v>17110.5846153846</v>
      </c>
      <c r="O18" s="17" t="n">
        <f aca="false">O14*M18</f>
        <v>95906.4615384615</v>
      </c>
      <c r="P18" s="5"/>
      <c r="Q18" s="5"/>
    </row>
    <row r="19" customFormat="false" ht="12.8" hidden="false" customHeight="false" outlineLevel="0" collapsed="false">
      <c r="B19" s="22" t="s">
        <v>20</v>
      </c>
      <c r="C19" s="22"/>
      <c r="D19" s="23" t="n">
        <f aca="false">SUM(D12:D18)</f>
        <v>191130</v>
      </c>
      <c r="E19" s="23" t="n">
        <f aca="false">SUM(E12:E18)</f>
        <v>979200</v>
      </c>
      <c r="G19" s="22" t="s">
        <v>20</v>
      </c>
      <c r="H19" s="24" t="s">
        <v>21</v>
      </c>
      <c r="I19" s="23" t="n">
        <f aca="false">I12+I15+I16+I17+I18</f>
        <v>92659.6</v>
      </c>
      <c r="J19" s="23" t="n">
        <f aca="false">J12+J15+J16+J17+J18</f>
        <v>427264</v>
      </c>
      <c r="L19" s="22" t="s">
        <v>20</v>
      </c>
      <c r="M19" s="22"/>
      <c r="N19" s="23" t="n">
        <f aca="false">N12+N15+N16+N17+N18</f>
        <v>98340.5846153846</v>
      </c>
      <c r="O19" s="23" t="n">
        <f aca="false">O12+O15+O16+O17+O18</f>
        <v>459106.461538462</v>
      </c>
      <c r="P19" s="5"/>
      <c r="Q19" s="5"/>
    </row>
    <row r="20" customFormat="false" ht="12.8" hidden="false" customHeight="false" outlineLevel="0" collapsed="false">
      <c r="B20" s="11" t="s">
        <v>22</v>
      </c>
      <c r="C20" s="12"/>
      <c r="D20" s="13" t="n">
        <v>290000</v>
      </c>
      <c r="E20" s="16" t="n">
        <f aca="false">D20</f>
        <v>290000</v>
      </c>
      <c r="G20" s="25" t="s">
        <v>22</v>
      </c>
      <c r="H20" s="18"/>
      <c r="I20" s="16" t="n">
        <f aca="false">D20</f>
        <v>290000</v>
      </c>
      <c r="J20" s="16" t="n">
        <f aca="false">I20</f>
        <v>290000</v>
      </c>
      <c r="L20" s="25" t="s">
        <v>22</v>
      </c>
      <c r="M20" s="18"/>
      <c r="N20" s="16" t="n">
        <f aca="false">D20</f>
        <v>290000</v>
      </c>
      <c r="O20" s="16" t="n">
        <f aca="false">N20</f>
        <v>290000</v>
      </c>
      <c r="P20" s="5"/>
      <c r="Q20" s="5"/>
      <c r="R20" s="1"/>
    </row>
    <row r="21" customFormat="false" ht="12.8" hidden="false" customHeight="false" outlineLevel="0" collapsed="false">
      <c r="B21" s="12" t="s">
        <v>23</v>
      </c>
      <c r="C21" s="14" t="n">
        <v>0.06</v>
      </c>
      <c r="D21" s="17" t="n">
        <f aca="false">C21*D20</f>
        <v>17400</v>
      </c>
      <c r="E21" s="17" t="n">
        <f aca="false">C21*E20</f>
        <v>17400</v>
      </c>
      <c r="G21" s="18" t="s">
        <v>23</v>
      </c>
      <c r="H21" s="19" t="n">
        <f aca="false">C21</f>
        <v>0.06</v>
      </c>
      <c r="I21" s="17" t="n">
        <f aca="false">H21*I20</f>
        <v>17400</v>
      </c>
      <c r="J21" s="17" t="n">
        <f aca="false">H21*J20</f>
        <v>17400</v>
      </c>
      <c r="L21" s="18" t="s">
        <v>23</v>
      </c>
      <c r="M21" s="19" t="n">
        <f aca="false">H21</f>
        <v>0.06</v>
      </c>
      <c r="N21" s="17" t="n">
        <f aca="false">M21*N20</f>
        <v>17400</v>
      </c>
      <c r="O21" s="17" t="n">
        <f aca="false">M21*O20</f>
        <v>17400</v>
      </c>
      <c r="P21" s="3"/>
      <c r="Q21" s="5"/>
      <c r="R21" s="1"/>
    </row>
    <row r="22" customFormat="false" ht="12.8" hidden="false" customHeight="false" outlineLevel="0" collapsed="false">
      <c r="B22" s="26" t="s">
        <v>24</v>
      </c>
      <c r="C22" s="26"/>
      <c r="D22" s="27" t="n">
        <f aca="false">D20-D19-D21</f>
        <v>81470</v>
      </c>
      <c r="E22" s="27" t="n">
        <f aca="false">E20-E19-E21</f>
        <v>-706600</v>
      </c>
      <c r="G22" s="26" t="s">
        <v>24</v>
      </c>
      <c r="H22" s="26"/>
      <c r="I22" s="27" t="n">
        <f aca="false">I20-I19-I21-I13</f>
        <v>54340.4</v>
      </c>
      <c r="J22" s="27" t="n">
        <f aca="false">J20-J19-J21-J13</f>
        <v>-858664</v>
      </c>
      <c r="L22" s="26" t="s">
        <v>24</v>
      </c>
      <c r="M22" s="26"/>
      <c r="N22" s="27" t="n">
        <f aca="false">N20-N19-N21-((N14*M14)-(N18))</f>
        <v>80151.2</v>
      </c>
      <c r="O22" s="27" t="n">
        <f aca="false">O20-O19-O21-((O14*M14)-(O18))</f>
        <v>-713992</v>
      </c>
      <c r="P22" s="5"/>
      <c r="Q22" s="5"/>
    </row>
    <row r="23" customFormat="false" ht="12.8" hidden="false" customHeight="false" outlineLevel="0" collapsed="false">
      <c r="B23" s="26"/>
      <c r="C23" s="26"/>
      <c r="D23" s="28" t="n">
        <f aca="false">D22/D19</f>
        <v>0.426254381834354</v>
      </c>
      <c r="E23" s="28" t="n">
        <f aca="false">E22/E19</f>
        <v>-0.721609477124183</v>
      </c>
      <c r="G23" s="26"/>
      <c r="H23" s="26"/>
      <c r="I23" s="28" t="n">
        <f aca="false">I22/I19</f>
        <v>0.586451916477084</v>
      </c>
      <c r="J23" s="28" t="n">
        <f aca="false">J22/J19</f>
        <v>-2.00968019772319</v>
      </c>
      <c r="L23" s="26"/>
      <c r="M23" s="26"/>
      <c r="N23" s="29" t="n">
        <f aca="false">N22/N19</f>
        <v>0.815036846826524</v>
      </c>
      <c r="O23" s="29" t="n">
        <f aca="false">O22/O19</f>
        <v>-1.55517741485803</v>
      </c>
      <c r="P23" s="5"/>
      <c r="Q23" s="5"/>
    </row>
    <row r="24" customFormat="false" ht="12.8" hidden="false" customHeight="false" outlineLevel="0" collapsed="false">
      <c r="B24" s="18" t="s">
        <v>25</v>
      </c>
      <c r="C24" s="19" t="n">
        <v>0.15</v>
      </c>
      <c r="D24" s="17" t="n">
        <f aca="false">D22*C24</f>
        <v>12220.5</v>
      </c>
      <c r="E24" s="17" t="n">
        <f aca="false">E22*C24</f>
        <v>-105990</v>
      </c>
      <c r="G24" s="18" t="s">
        <v>25</v>
      </c>
      <c r="H24" s="19" t="n">
        <v>0.15</v>
      </c>
      <c r="I24" s="17" t="n">
        <f aca="false">I22*H24</f>
        <v>8151.06</v>
      </c>
      <c r="J24" s="17" t="n">
        <f aca="false">J22*H24</f>
        <v>-128799.6</v>
      </c>
      <c r="L24" s="18" t="s">
        <v>25</v>
      </c>
      <c r="M24" s="19" t="n">
        <v>0.15</v>
      </c>
      <c r="N24" s="17" t="n">
        <f aca="false">N22*M24</f>
        <v>12022.68</v>
      </c>
      <c r="O24" s="17" t="n">
        <f aca="false">O22*M24</f>
        <v>-107098.8</v>
      </c>
      <c r="P24" s="5"/>
      <c r="Q24" s="5"/>
    </row>
    <row r="25" customFormat="false" ht="12.8" hidden="false" customHeight="false" outlineLevel="0" collapsed="false">
      <c r="B25" s="30" t="s">
        <v>26</v>
      </c>
      <c r="C25" s="30"/>
      <c r="D25" s="31" t="n">
        <f aca="false">D22-D24</f>
        <v>69249.5</v>
      </c>
      <c r="E25" s="31" t="n">
        <f aca="false">E22-E24</f>
        <v>-600610</v>
      </c>
      <c r="G25" s="30" t="s">
        <v>26</v>
      </c>
      <c r="H25" s="30"/>
      <c r="I25" s="31" t="n">
        <f aca="false">I22-I24</f>
        <v>46189.34</v>
      </c>
      <c r="J25" s="31" t="n">
        <f aca="false">J22-J24</f>
        <v>-729864.4</v>
      </c>
      <c r="L25" s="30" t="s">
        <v>26</v>
      </c>
      <c r="M25" s="30"/>
      <c r="N25" s="31" t="n">
        <f aca="false">N22-N24</f>
        <v>68128.52</v>
      </c>
      <c r="O25" s="31" t="n">
        <f aca="false">O22-O24</f>
        <v>-606893.2</v>
      </c>
      <c r="P25" s="5"/>
      <c r="Q25" s="5"/>
    </row>
    <row r="26" customFormat="false" ht="12.8" hidden="false" customHeight="false" outlineLevel="0" collapsed="false">
      <c r="B26" s="18" t="s">
        <v>27</v>
      </c>
      <c r="C26" s="18"/>
      <c r="D26" s="19" t="n">
        <f aca="false">D25/D19</f>
        <v>0.362316224559201</v>
      </c>
      <c r="E26" s="19" t="n">
        <f aca="false">E25/E19</f>
        <v>-0.613368055555556</v>
      </c>
      <c r="G26" s="18" t="s">
        <v>27</v>
      </c>
      <c r="H26" s="18"/>
      <c r="I26" s="19" t="n">
        <f aca="false">I25/I19</f>
        <v>0.498484129005521</v>
      </c>
      <c r="J26" s="19" t="n">
        <f aca="false">J25/J19</f>
        <v>-1.70822816806471</v>
      </c>
      <c r="L26" s="18" t="s">
        <v>27</v>
      </c>
      <c r="M26" s="18"/>
      <c r="N26" s="19" t="n">
        <f aca="false">N25/N19</f>
        <v>0.692781319802545</v>
      </c>
      <c r="O26" s="19" t="n">
        <f aca="false">O25/O19</f>
        <v>-1.32190080262932</v>
      </c>
      <c r="P26" s="5"/>
      <c r="Q26" s="5"/>
    </row>
    <row r="27" customFormat="false" ht="12.8" hidden="false" customHeight="false" outlineLevel="0" collapsed="false">
      <c r="B27" s="8"/>
      <c r="C27" s="8"/>
      <c r="D27" s="8"/>
      <c r="E27" s="8"/>
      <c r="G27" s="8"/>
      <c r="H27" s="8"/>
      <c r="I27" s="8"/>
      <c r="J27" s="8"/>
      <c r="L27" s="8"/>
      <c r="M27" s="8"/>
      <c r="N27" s="8"/>
      <c r="O27" s="8"/>
      <c r="P27" s="5"/>
      <c r="Q27" s="5"/>
    </row>
    <row r="28" customFormat="false" ht="12.8" hidden="false" customHeight="false" outlineLevel="0" collapsed="false">
      <c r="B28" s="12" t="s">
        <v>28</v>
      </c>
      <c r="C28" s="12" t="n">
        <v>5</v>
      </c>
      <c r="D28" s="20"/>
      <c r="E28" s="18"/>
      <c r="G28" s="18" t="s">
        <v>28</v>
      </c>
      <c r="H28" s="18" t="n">
        <f aca="false">C28</f>
        <v>5</v>
      </c>
      <c r="I28" s="17" t="n">
        <f aca="false">I14/H28</f>
        <v>301.44</v>
      </c>
      <c r="J28" s="17" t="n">
        <f aca="false">J14/H28</f>
        <v>1689.6</v>
      </c>
      <c r="L28" s="18" t="s">
        <v>29</v>
      </c>
      <c r="M28" s="18" t="n">
        <f aca="false">C28</f>
        <v>5</v>
      </c>
      <c r="N28" s="17" t="n">
        <f aca="false">N14/M28</f>
        <v>285.17641025641</v>
      </c>
      <c r="O28" s="17" t="n">
        <f aca="false">O14/M28</f>
        <v>1598.44102564103</v>
      </c>
      <c r="P28" s="5"/>
      <c r="Q28" s="5"/>
    </row>
    <row r="29" customFormat="false" ht="12.8" hidden="false" customHeight="false" outlineLevel="0" collapsed="false">
      <c r="B29" s="18" t="s">
        <v>30</v>
      </c>
      <c r="C29" s="18"/>
      <c r="D29" s="17" t="n">
        <f aca="false">D19/C28</f>
        <v>38226</v>
      </c>
      <c r="E29" s="17" t="n">
        <f aca="false">E19/C28</f>
        <v>195840</v>
      </c>
      <c r="G29" s="18" t="s">
        <v>30</v>
      </c>
      <c r="H29" s="18"/>
      <c r="I29" s="17" t="n">
        <f aca="false">I19/H28</f>
        <v>18531.92</v>
      </c>
      <c r="J29" s="17" t="n">
        <f aca="false">J19/H28</f>
        <v>85452.8</v>
      </c>
      <c r="L29" s="18" t="s">
        <v>30</v>
      </c>
      <c r="M29" s="18"/>
      <c r="N29" s="17" t="n">
        <f aca="false">N19/M28</f>
        <v>19668.1169230769</v>
      </c>
      <c r="O29" s="17" t="n">
        <f aca="false">O19/M28</f>
        <v>91821.2923076923</v>
      </c>
      <c r="P29" s="5"/>
      <c r="Q29" s="5"/>
    </row>
    <row r="30" customFormat="false" ht="12.8" hidden="false" customHeight="false" outlineLevel="0" collapsed="false">
      <c r="B30" s="18" t="s">
        <v>31</v>
      </c>
      <c r="C30" s="18"/>
      <c r="D30" s="17" t="n">
        <f aca="false">D25/C28</f>
        <v>13849.9</v>
      </c>
      <c r="E30" s="17" t="n">
        <f aca="false">E25/C28</f>
        <v>-120122</v>
      </c>
      <c r="G30" s="18" t="s">
        <v>31</v>
      </c>
      <c r="H30" s="18"/>
      <c r="I30" s="17" t="n">
        <f aca="false">I25/H28</f>
        <v>9237.868</v>
      </c>
      <c r="J30" s="17" t="n">
        <f aca="false">J25/H28</f>
        <v>-145972.88</v>
      </c>
      <c r="L30" s="18" t="s">
        <v>31</v>
      </c>
      <c r="M30" s="18"/>
      <c r="N30" s="17" t="n">
        <f aca="false">N25/M28</f>
        <v>13625.704</v>
      </c>
      <c r="O30" s="17" t="n">
        <f aca="false">O25/M28</f>
        <v>-121378.64</v>
      </c>
      <c r="P30" s="5"/>
      <c r="Q30" s="5"/>
    </row>
    <row r="31" customFormat="false" ht="12.8" hidden="false" customHeight="false" outlineLevel="0" collapsed="false">
      <c r="P31" s="5"/>
      <c r="Q31" s="5"/>
    </row>
    <row r="32" customFormat="false" ht="12.8" hidden="false" customHeight="false" outlineLevel="0" collapsed="false">
      <c r="C32" s="1"/>
      <c r="D32" s="5"/>
      <c r="E32" s="5"/>
      <c r="P32" s="5"/>
      <c r="Q32" s="5"/>
    </row>
    <row r="33" customFormat="false" ht="12.8" hidden="false" customHeight="false" outlineLevel="0" collapsed="false">
      <c r="C33" s="3"/>
      <c r="D33" s="5"/>
      <c r="E33" s="5"/>
      <c r="F33" s="5"/>
      <c r="P33" s="5"/>
      <c r="Q33" s="5"/>
    </row>
    <row r="34" customFormat="false" ht="12.8" hidden="false" customHeight="false" outlineLevel="0" collapsed="false">
      <c r="C34" s="3"/>
      <c r="D34" s="5"/>
      <c r="E34" s="5"/>
      <c r="P34" s="5"/>
      <c r="Q34" s="5"/>
    </row>
    <row r="35" customFormat="false" ht="12.8" hidden="false" customHeight="false" outlineLevel="0" collapsed="false">
      <c r="C35" s="3"/>
      <c r="D35" s="5"/>
      <c r="E35" s="5"/>
      <c r="F35" s="5"/>
      <c r="P35" s="5"/>
      <c r="Q35" s="5"/>
    </row>
    <row r="36" customFormat="false" ht="12.8" hidden="false" customHeight="false" outlineLevel="0" collapsed="false">
      <c r="C36" s="3"/>
      <c r="D36" s="5"/>
      <c r="E36" s="5"/>
      <c r="I36" s="32"/>
      <c r="P36" s="5"/>
      <c r="Q36" s="5"/>
    </row>
    <row r="37" customFormat="false" ht="12.8" hidden="false" customHeight="false" outlineLevel="0" collapsed="false">
      <c r="C37" s="3"/>
      <c r="D37" s="5"/>
      <c r="E37" s="5"/>
      <c r="P37" s="5"/>
      <c r="Q37" s="5"/>
    </row>
    <row r="38" customFormat="false" ht="12.8" hidden="false" customHeight="true" outlineLevel="0" collapsed="false">
      <c r="C38" s="3"/>
      <c r="D38" s="5"/>
      <c r="E38" s="5"/>
    </row>
    <row r="39" customFormat="false" ht="12.8" hidden="false" customHeight="true" outlineLevel="0" collapsed="false">
      <c r="C39" s="3"/>
      <c r="D39" s="5"/>
      <c r="E39" s="5"/>
    </row>
  </sheetData>
  <mergeCells count="17">
    <mergeCell ref="D5:I5"/>
    <mergeCell ref="D6:I6"/>
    <mergeCell ref="B8:E9"/>
    <mergeCell ref="G8:J9"/>
    <mergeCell ref="L8:O9"/>
    <mergeCell ref="B10:E10"/>
    <mergeCell ref="G10:J10"/>
    <mergeCell ref="L10:O10"/>
    <mergeCell ref="B11:C11"/>
    <mergeCell ref="G11:H11"/>
    <mergeCell ref="L11:M11"/>
    <mergeCell ref="B22:C23"/>
    <mergeCell ref="G22:H23"/>
    <mergeCell ref="L22:M23"/>
    <mergeCell ref="B27:E27"/>
    <mergeCell ref="G27:J27"/>
    <mergeCell ref="L27:O2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8291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2025-01-20T20:45:44Z</dcterms:created>
  <dc:creator/>
  <dc:description/>
  <dc:language>pt-BR</dc:language>
  <cp:lastModifiedBy/>
  <dcterms:modified xsi:type="dcterms:W3CDTF">2026-04-22T16:35:05Z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